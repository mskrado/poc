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Klarna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CFO AI Support Payoff Worksheet</t>
        </is>
      </c>
    </row>
    <row r="2">
      <c r="A2" t="inlineStr">
        <is>
          <t>By Av Ledger, Enterprise ROI Desk, roiscale.ai</t>
        </is>
      </c>
    </row>
    <row r="4">
      <c r="A4" t="inlineStr">
        <is>
          <t>Purpose</t>
        </is>
      </c>
      <c r="B4" t="inlineStr">
        <is>
          <t>Test an AI customer-service business case the way Klarna's survived its SEC review: stated denominator, forecast reconciled to a booked figure, quality cost priced in.</t>
        </is>
      </c>
    </row>
    <row r="5">
      <c r="A5" t="inlineStr">
        <is>
          <t>How to use</t>
        </is>
      </c>
      <c r="B5" t="inlineStr">
        <is>
          <t>1. Fill the yellow cells on 'Inputs' from your own logs and ledger (same 12-month period, monthly averages).</t>
        </is>
      </c>
    </row>
    <row r="6">
      <c r="A6" t="inlineStr"/>
      <c r="B6" t="inlineStr">
        <is>
          <t>2. Read results on 'Model'. Payback shows 'No payback' when monthly net saving &lt;= 0, and blank until inputs are filled.</t>
        </is>
      </c>
    </row>
    <row r="7">
      <c r="A7" t="inlineStr"/>
      <c r="B7" t="inlineStr">
        <is>
          <t>3. 'Klarna reference' lists only what Klarna disclosed. Build and run cost were not disclosed, so payback cannot be computed from public data.</t>
        </is>
      </c>
    </row>
    <row r="8">
      <c r="A8" t="inlineStr">
        <is>
          <t>Companion to</t>
        </is>
      </c>
      <c r="B8" t="inlineStr">
        <is>
          <t>roiscale.ai article "Klarna's AI Payoff Survived the SEC"</t>
        </is>
      </c>
    </row>
    <row r="10">
      <c r="A10" t="inlineStr">
        <is>
          <t>Planning aid, not financial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2" customWidth="1" min="3" max="3"/>
    <col width="40" customWidth="1" min="4" max="4"/>
  </cols>
  <sheetData>
    <row r="1">
      <c r="A1" s="2" t="inlineStr">
        <is>
          <t>Input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Note</t>
        </is>
      </c>
    </row>
    <row r="2">
      <c r="A2" t="inlineStr">
        <is>
          <t>Period length</t>
        </is>
      </c>
      <c r="B2" s="3" t="n">
        <v>12</v>
      </c>
      <c r="C2" t="inlineStr">
        <is>
          <t>months</t>
        </is>
      </c>
      <c r="D2" t="inlineStr">
        <is>
          <t>Same period before and after</t>
        </is>
      </c>
    </row>
    <row r="3">
      <c r="A3" t="inlineStr">
        <is>
          <t>Baseline contacts per month</t>
        </is>
      </c>
      <c r="B3" s="3" t="n"/>
      <c r="C3" t="inlineStr">
        <is>
          <t>contacts/month</t>
        </is>
      </c>
      <c r="D3" t="inlineStr">
        <is>
          <t>From your logs, all channels</t>
        </is>
      </c>
    </row>
    <row r="4">
      <c r="A4" t="inlineStr">
        <is>
          <t>Fully loaded human cost per contact</t>
        </is>
      </c>
      <c r="B4" s="3" t="n"/>
      <c r="C4" t="inlineStr">
        <is>
          <t>currency/contact</t>
        </is>
      </c>
      <c r="D4" t="inlineStr"/>
    </row>
    <row r="5">
      <c r="A5" t="inlineStr">
        <is>
          <t>AI resolution share</t>
        </is>
      </c>
      <c r="B5" s="4" t="n"/>
      <c r="C5" t="inlineStr">
        <is>
          <t>% of contacts</t>
        </is>
      </c>
      <c r="D5" t="inlineStr">
        <is>
          <t>Share handled end-to-end by AI</t>
        </is>
      </c>
    </row>
    <row r="6">
      <c r="A6" t="inlineStr">
        <is>
          <t>AI run cost per AI-handled contact</t>
        </is>
      </c>
      <c r="B6" s="3" t="n"/>
      <c r="C6" t="inlineStr">
        <is>
          <t>currency/contact</t>
        </is>
      </c>
      <c r="D6" t="inlineStr">
        <is>
          <t>Run cost (licence, inference, ops)</t>
        </is>
      </c>
    </row>
    <row r="7">
      <c r="A7" t="inlineStr">
        <is>
          <t>Escalation rate (AI to human)</t>
        </is>
      </c>
      <c r="B7" s="4" t="n"/>
      <c r="C7" t="inlineStr">
        <is>
          <t>% of AI contacts</t>
        </is>
      </c>
      <c r="D7" t="inlineStr"/>
    </row>
    <row r="8">
      <c r="A8" t="inlineStr">
        <is>
          <t>Cost per escalation</t>
        </is>
      </c>
      <c r="B8" s="3" t="n"/>
      <c r="C8" t="inlineStr">
        <is>
          <t>currency/escalation</t>
        </is>
      </c>
      <c r="D8" t="inlineStr"/>
    </row>
    <row r="9">
      <c r="A9" t="inlineStr">
        <is>
          <t>Repeat-contact rate within 7 days, before</t>
        </is>
      </c>
      <c r="B9" s="4" t="n"/>
      <c r="C9" t="inlineStr">
        <is>
          <t>% of contacts</t>
        </is>
      </c>
      <c r="D9" t="inlineStr"/>
    </row>
    <row r="10">
      <c r="A10" t="inlineStr">
        <is>
          <t>Repeat-contact rate within 7 days, after</t>
        </is>
      </c>
      <c r="B10" s="4" t="n"/>
      <c r="C10" t="inlineStr">
        <is>
          <t>% of contacts</t>
        </is>
      </c>
      <c r="D10" t="inlineStr"/>
    </row>
    <row r="11">
      <c r="A11" t="inlineStr">
        <is>
          <t>Build / one-off cost</t>
        </is>
      </c>
      <c r="B11" s="3" t="n"/>
      <c r="C11" t="inlineStr">
        <is>
          <t>currency</t>
        </is>
      </c>
      <c r="D11" t="inlineStr">
        <is>
          <t>One-off</t>
        </is>
      </c>
    </row>
    <row r="12">
      <c r="A12" t="inlineStr">
        <is>
          <t>Forecast saving for the period</t>
        </is>
      </c>
      <c r="B12" s="3" t="n"/>
      <c r="C12" t="inlineStr">
        <is>
          <t>currency</t>
        </is>
      </c>
      <c r="D12" t="inlineStr">
        <is>
          <t>As stated in the business case</t>
        </is>
      </c>
    </row>
    <row r="13">
      <c r="A13" t="inlineStr">
        <is>
          <t>Booked saving for the period</t>
        </is>
      </c>
      <c r="B13" s="3" t="n"/>
      <c r="C13" t="inlineStr">
        <is>
          <t>currency</t>
        </is>
      </c>
      <c r="D13" t="inlineStr">
        <is>
          <t>From the 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44" customWidth="1" min="3" max="3"/>
  </cols>
  <sheetData>
    <row r="1">
      <c r="A1" s="2" t="inlineStr">
        <is>
          <t>Line</t>
        </is>
      </c>
      <c r="B1" s="2" t="inlineStr">
        <is>
          <t>Value</t>
        </is>
      </c>
      <c r="C1" s="2" t="inlineStr">
        <is>
          <t>Formula</t>
        </is>
      </c>
    </row>
    <row r="2">
      <c r="A2" t="inlineStr">
        <is>
          <t>Human cost per month, before</t>
        </is>
      </c>
      <c r="B2" s="5">
        <f>Inputs!B3*Inputs!B4</f>
        <v/>
      </c>
      <c r="C2" t="inlineStr">
        <is>
          <t>contacts x human cost</t>
        </is>
      </c>
    </row>
    <row r="3">
      <c r="A3" t="inlineStr">
        <is>
          <t>Resolved contacts per month, before</t>
        </is>
      </c>
      <c r="B3" s="5">
        <f>Inputs!B3*(1-Inputs!B9)</f>
        <v/>
      </c>
      <c r="C3" t="inlineStr">
        <is>
          <t>contacts - repeat contacts</t>
        </is>
      </c>
    </row>
    <row r="4">
      <c r="A4" t="inlineStr">
        <is>
          <t>Cost per resolved contact, before</t>
        </is>
      </c>
      <c r="B4" s="5">
        <f>IF(B3&gt;0,B2/B3,"")</f>
        <v/>
      </c>
      <c r="C4" t="inlineStr">
        <is>
          <t>human cost / resolved</t>
        </is>
      </c>
    </row>
    <row r="5">
      <c r="A5" t="inlineStr">
        <is>
          <t>Human cost per month, after</t>
        </is>
      </c>
      <c r="B5" s="5">
        <f>Inputs!B3*(1-Inputs!B5)*Inputs!B4</f>
        <v/>
      </c>
      <c r="C5" t="inlineStr">
        <is>
          <t>non-AI contacts x human cost</t>
        </is>
      </c>
    </row>
    <row r="6">
      <c r="A6" t="inlineStr">
        <is>
          <t>AI run cost per month</t>
        </is>
      </c>
      <c r="B6" s="5">
        <f>Inputs!B3*Inputs!B5*Inputs!B6</f>
        <v/>
      </c>
      <c r="C6" t="inlineStr">
        <is>
          <t>AI contacts x run cost</t>
        </is>
      </c>
    </row>
    <row r="7">
      <c r="A7" t="inlineStr">
        <is>
          <t>Escalation cost per month</t>
        </is>
      </c>
      <c r="B7" s="5">
        <f>Inputs!B3*Inputs!B5*Inputs!B7*Inputs!B8</f>
        <v/>
      </c>
      <c r="C7" t="inlineStr">
        <is>
          <t>AI contacts x escalation rate x cost</t>
        </is>
      </c>
    </row>
    <row r="8">
      <c r="A8" t="inlineStr">
        <is>
          <t>Resolved contacts per month, after</t>
        </is>
      </c>
      <c r="B8" s="5">
        <f>Inputs!B3*(1-Inputs!B10)</f>
        <v/>
      </c>
      <c r="C8" t="inlineStr">
        <is>
          <t>contacts - repeat contacts</t>
        </is>
      </c>
    </row>
    <row r="9">
      <c r="A9" t="inlineStr">
        <is>
          <t>Cost per resolved contact, after</t>
        </is>
      </c>
      <c r="B9" s="5">
        <f>IF(B8&gt;0,(B5+B6+B7)/B8,"")</f>
        <v/>
      </c>
      <c r="C9" t="inlineStr">
        <is>
          <t>(human + AI run + escalation) / resolved</t>
        </is>
      </c>
    </row>
    <row r="10">
      <c r="A10" t="inlineStr">
        <is>
          <t>Gross saving per month</t>
        </is>
      </c>
      <c r="B10" s="5">
        <f>B2-B5</f>
        <v/>
      </c>
      <c r="C10" t="inlineStr">
        <is>
          <t>human cost before - after</t>
        </is>
      </c>
    </row>
    <row r="11">
      <c r="A11" t="inlineStr">
        <is>
          <t>Quality cost per month</t>
        </is>
      </c>
      <c r="B11" s="5">
        <f>Inputs!B3*(Inputs!B10-Inputs!B9)*Inputs!B4</f>
        <v/>
      </c>
      <c r="C11" t="inlineStr">
        <is>
          <t>change in repeat contacts x loaded cost</t>
        </is>
      </c>
    </row>
    <row r="12">
      <c r="A12" t="inlineStr">
        <is>
          <t>Monthly net saving</t>
        </is>
      </c>
      <c r="B12" s="5">
        <f>B10-B6-B7-B11</f>
        <v/>
      </c>
      <c r="C12" t="inlineStr">
        <is>
          <t>gross - run - escalation - quality</t>
        </is>
      </c>
    </row>
    <row r="13">
      <c r="A13" t="inlineStr">
        <is>
          <t>Payback months</t>
        </is>
      </c>
      <c r="B13" s="6">
        <f>IF(NOT(COUNT(Inputs!B3:B11)=9),"",IF(B12&lt;=0,"No payback",Inputs!B11/B12))</f>
        <v/>
      </c>
      <c r="C13" t="inlineStr">
        <is>
          <t>build cost / monthly net saving</t>
        </is>
      </c>
    </row>
    <row r="14">
      <c r="A14" t="inlineStr">
        <is>
          <t>Modelled net saving for the period</t>
        </is>
      </c>
      <c r="B14" s="5">
        <f>B12*Inputs!B2</f>
        <v/>
      </c>
      <c r="C14" t="inlineStr">
        <is>
          <t>monthly net x months</t>
        </is>
      </c>
    </row>
    <row r="15">
      <c r="A15" t="inlineStr">
        <is>
          <t>Forecast saving</t>
        </is>
      </c>
      <c r="B15" s="5">
        <f>IF(Inputs!B12="","",Inputs!B12)</f>
        <v/>
      </c>
      <c r="C15" t="inlineStr">
        <is>
          <t>from Inputs</t>
        </is>
      </c>
    </row>
    <row r="16">
      <c r="A16" t="inlineStr">
        <is>
          <t>Booked saving</t>
        </is>
      </c>
      <c r="B16" s="5">
        <f>IF(Inputs!B13="","",Inputs!B13)</f>
        <v/>
      </c>
      <c r="C16" t="inlineStr">
        <is>
          <t>from Inputs</t>
        </is>
      </c>
    </row>
    <row r="17">
      <c r="A17" t="inlineStr">
        <is>
          <t>Gap, booked vs forecast</t>
        </is>
      </c>
      <c r="B17" s="5">
        <f>IF(OR(B15="",B16=""),"",B16-B15)</f>
        <v/>
      </c>
      <c r="C17" t="inlineStr"/>
    </row>
    <row r="18">
      <c r="A18" t="inlineStr">
        <is>
          <t>Gap %</t>
        </is>
      </c>
      <c r="B18" s="7">
        <f>IF(OR(B15="",B16="",B15=0),"",B17/B15)</f>
        <v/>
      </c>
      <c r="C18" t="inlineStr">
        <is>
          <t>(booked - forecast) / 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38" customWidth="1" min="3" max="3"/>
  </cols>
  <sheetData>
    <row r="1">
      <c r="A1" s="2" t="inlineStr">
        <is>
          <t>Figure</t>
        </is>
      </c>
      <c r="B1" s="2" t="inlineStr">
        <is>
          <t>Value</t>
        </is>
      </c>
      <c r="C1" s="2" t="inlineStr">
        <is>
          <t>Source</t>
        </is>
      </c>
    </row>
    <row r="2">
      <c r="A2" t="inlineStr">
        <is>
          <t>AI assistant conversations (first month)</t>
        </is>
      </c>
      <c r="B2" t="inlineStr">
        <is>
          <t>2.3 million</t>
        </is>
      </c>
      <c r="C2" t="inlineStr">
        <is>
          <t>Klarna press release, 27 Feb 2024</t>
        </is>
      </c>
    </row>
    <row r="3">
      <c r="A3" t="inlineStr">
        <is>
          <t>Share of customer service chats</t>
        </is>
      </c>
      <c r="B3" t="inlineStr">
        <is>
          <t>Two-thirds</t>
        </is>
      </c>
      <c r="C3" t="inlineStr">
        <is>
          <t>Klarna press release, 27 Feb 2024</t>
        </is>
      </c>
    </row>
    <row r="4">
      <c r="A4" t="inlineStr">
        <is>
          <t>Work equivalent</t>
        </is>
      </c>
      <c r="B4" t="inlineStr">
        <is>
          <t>700 full-time agents</t>
        </is>
      </c>
      <c r="C4" t="inlineStr">
        <is>
          <t>Klarna press release, 27 Feb 2024</t>
        </is>
      </c>
    </row>
    <row r="5">
      <c r="A5" t="inlineStr">
        <is>
          <t>Estimated profit improvement in 2024</t>
        </is>
      </c>
      <c r="B5" t="inlineStr">
        <is>
          <t>$40 million (forecast)</t>
        </is>
      </c>
      <c r="C5" t="inlineStr">
        <is>
          <t>Klarna press release, 27 Feb 2024</t>
        </is>
      </c>
    </row>
    <row r="6">
      <c r="A6" t="inlineStr">
        <is>
          <t>Resolution time</t>
        </is>
      </c>
      <c r="B6" t="inlineStr">
        <is>
          <t>Under 2 min vs 11 min</t>
        </is>
      </c>
      <c r="C6" t="inlineStr">
        <is>
          <t>Klarna press release, 27 Feb 2024</t>
        </is>
      </c>
    </row>
    <row r="7">
      <c r="A7" t="inlineStr">
        <is>
          <t>Repeat inquiries</t>
        </is>
      </c>
      <c r="B7" t="inlineStr">
        <is>
          <t>-25%</t>
        </is>
      </c>
      <c r="C7" t="inlineStr">
        <is>
          <t>Klarna press release, 27 Feb 2024</t>
        </is>
      </c>
    </row>
    <row r="8">
      <c r="A8" t="inlineStr">
        <is>
          <t>Share of chats, 12 months to 31 Mar 2025</t>
        </is>
      </c>
      <c r="B8" t="inlineStr">
        <is>
          <t>66%</t>
        </is>
      </c>
      <c r="C8" t="inlineStr">
        <is>
          <t>Klarna SEC response letter, 16 Jul 2025</t>
        </is>
      </c>
    </row>
    <row r="9">
      <c r="A9" t="inlineStr">
        <is>
          <t>FTE equivalent</t>
        </is>
      </c>
      <c r="B9" t="inlineStr">
        <is>
          <t>Over 700 (estimate)</t>
        </is>
      </c>
      <c r="C9" t="inlineStr">
        <is>
          <t>Klarna SEC response letter, 16 Jul 2025</t>
        </is>
      </c>
    </row>
    <row r="10">
      <c r="A10" t="inlineStr">
        <is>
          <t>Cost savings in 2024</t>
        </is>
      </c>
      <c r="B10" t="inlineStr">
        <is>
          <t>About $39 million</t>
        </is>
      </c>
      <c r="C10" t="inlineStr">
        <is>
          <t>Klarna SEC response letter, 16 Jul 2025</t>
        </is>
      </c>
    </row>
    <row r="11">
      <c r="A11" t="inlineStr">
        <is>
          <t>Customer satisfaction</t>
        </is>
      </c>
      <c r="B11" t="inlineStr">
        <is>
          <t>On par with human agents</t>
        </is>
      </c>
      <c r="C11" t="inlineStr">
        <is>
          <t>Klarna SEC response letter, 16 Jul 2025</t>
        </is>
      </c>
    </row>
    <row r="12">
      <c r="A12" t="inlineStr">
        <is>
          <t>Repeat inquiries, Dec 2023 to Jan 2024</t>
        </is>
      </c>
      <c r="B12" t="inlineStr">
        <is>
          <t>-25%</t>
        </is>
      </c>
      <c r="C12" t="inlineStr">
        <is>
          <t>Klarna SEC response letter, 16 Jul 2025</t>
        </is>
      </c>
    </row>
    <row r="13">
      <c r="A13" t="inlineStr">
        <is>
          <t>Resolution time, 2024</t>
        </is>
      </c>
      <c r="B13" t="inlineStr">
        <is>
          <t>2 min vs 12 min human average</t>
        </is>
      </c>
      <c r="C13" t="inlineStr">
        <is>
          <t>Klarna SEC response letter, 16 Jul 2025</t>
        </is>
      </c>
    </row>
    <row r="14">
      <c r="A14" t="inlineStr">
        <is>
          <t>Build / one-off cost</t>
        </is>
      </c>
      <c r="B14" t="inlineStr">
        <is>
          <t>Not disclosed</t>
        </is>
      </c>
      <c r="C14" t="inlineStr"/>
    </row>
    <row r="15">
      <c r="A15" t="inlineStr">
        <is>
          <t>Run cost</t>
        </is>
      </c>
      <c r="B15" t="inlineStr">
        <is>
          <t>Not disclosed</t>
        </is>
      </c>
      <c r="C15" t="inlineStr"/>
    </row>
    <row r="16">
      <c r="A16" t="inlineStr">
        <is>
          <t>Escalation cost</t>
        </is>
      </c>
      <c r="B16" t="inlineStr">
        <is>
          <t>Not disclosed</t>
        </is>
      </c>
      <c r="C16" t="inlineStr"/>
    </row>
    <row r="18">
      <c r="A18" t="inlineStr">
        <is>
          <t>No build or run cost was disclosed, so payback cannot be computed from public data. No numbers here are estimates by roiscale.ai.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2026-10-16T09:34:47Z</dcterms:created>
  <dcterms:modified xmlns:dcterms="http://purl.org/dc/terms/" xmlns:xsi="http://www.w3.org/2001/XMLSchema-instance" xsi:type="dcterms:W3CDTF">2026-10-16T09:34:47Z</dcterms:modified>
</cp:coreProperties>
</file>